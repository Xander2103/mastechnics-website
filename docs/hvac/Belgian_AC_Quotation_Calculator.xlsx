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4" max="4"/>
    <col width="12" customWidth="1" min="5" max="5"/>
  </cols>
  <sheetData>
    <row r="1">
      <c r="A1" s="1" t="inlineStr">
        <is>
          <t>Belgian Deterministic Air-Conditioning Calculator</t>
        </is>
      </c>
    </row>
    <row r="3">
      <c r="A3" s="2" t="inlineStr">
        <is>
          <t>Length (m)</t>
        </is>
      </c>
      <c r="B3" t="n">
        <v>6</v>
      </c>
      <c r="D3" t="inlineStr">
        <is>
          <t>qsol</t>
        </is>
      </c>
      <c r="E3">
        <f>IF(B7="North",120,IF(B7="East",230,IF(B7="South",280,300)))</f>
        <v/>
      </c>
    </row>
    <row r="4">
      <c r="A4" s="2" t="inlineStr">
        <is>
          <t>Width (m)</t>
        </is>
      </c>
      <c r="B4" t="n">
        <v>5</v>
      </c>
      <c r="D4" t="inlineStr">
        <is>
          <t>Fs</t>
        </is>
      </c>
      <c r="E4">
        <f>IF(B8="None",1,IF(B8="Internal blinds",0.75,0.35))</f>
        <v/>
      </c>
    </row>
    <row r="5">
      <c r="A5" s="2" t="inlineStr">
        <is>
          <t>Height (m)</t>
        </is>
      </c>
      <c r="B5" t="n">
        <v>2.6</v>
      </c>
      <c r="D5" t="inlineStr">
        <is>
          <t>Ueq</t>
        </is>
      </c>
      <c r="E5">
        <f>IF(B9="New",0.35,IF(B9="Recent insulated",0.6,IF(B9="Older insulated",0.9,1.4)))</f>
        <v/>
      </c>
    </row>
    <row r="6">
      <c r="A6" s="2" t="inlineStr">
        <is>
          <t>Window area (m²)</t>
        </is>
      </c>
      <c r="B6" t="n">
        <v>5</v>
      </c>
    </row>
    <row r="7">
      <c r="A7" s="2" t="inlineStr">
        <is>
          <t>Orientation</t>
        </is>
      </c>
      <c r="B7" t="inlineStr">
        <is>
          <t>West</t>
        </is>
      </c>
    </row>
    <row r="8">
      <c r="A8" s="2" t="inlineStr">
        <is>
          <t>Shading</t>
        </is>
      </c>
      <c r="B8" t="inlineStr">
        <is>
          <t>Internal blinds</t>
        </is>
      </c>
    </row>
    <row r="9">
      <c r="A9" s="2" t="inlineStr">
        <is>
          <t>Building quality</t>
        </is>
      </c>
      <c r="B9" t="inlineStr">
        <is>
          <t>Recent insulated</t>
        </is>
      </c>
    </row>
    <row r="10">
      <c r="A10" s="2" t="inlineStr">
        <is>
          <t>People</t>
        </is>
      </c>
      <c r="B10" t="n">
        <v>3</v>
      </c>
    </row>
    <row r="11">
      <c r="A11" s="2" t="inlineStr">
        <is>
          <t>Equipment load (W)</t>
        </is>
      </c>
      <c r="B11" t="n">
        <v>250</v>
      </c>
    </row>
    <row r="12">
      <c r="A12" s="2" t="inlineStr">
        <is>
          <t>ACH</t>
        </is>
      </c>
      <c r="B12" t="n">
        <v>0.5</v>
      </c>
    </row>
    <row r="13">
      <c r="A13" s="2" t="inlineStr">
        <is>
          <t>Safety factor</t>
        </is>
      </c>
      <c r="B13" t="n">
        <v>1.1</v>
      </c>
    </row>
    <row r="16">
      <c r="A16" s="2" t="inlineStr">
        <is>
          <t>Area (m²)</t>
        </is>
      </c>
      <c r="B16">
        <f>B3*B4</f>
        <v/>
      </c>
    </row>
    <row r="17">
      <c r="A17" s="2" t="inlineStr">
        <is>
          <t>Volume (m³)</t>
        </is>
      </c>
      <c r="B17">
        <f>B3*B4*B5</f>
        <v/>
      </c>
    </row>
    <row r="18">
      <c r="A18" s="2" t="inlineStr">
        <is>
          <t>Envelope area (m²)</t>
        </is>
      </c>
      <c r="B18">
        <f>2*B5*(B3+B4)+(B3*B4)</f>
        <v/>
      </c>
    </row>
    <row r="19">
      <c r="A19" s="2" t="inlineStr">
        <is>
          <t>Qtrans (W)</t>
        </is>
      </c>
      <c r="B19">
        <f>E5*B18*8</f>
        <v/>
      </c>
    </row>
    <row r="20">
      <c r="A20" s="2" t="inlineStr">
        <is>
          <t>Qsol (W)</t>
        </is>
      </c>
      <c r="B20">
        <f>B6*E3*E4</f>
        <v/>
      </c>
    </row>
    <row r="21">
      <c r="A21" s="2" t="inlineStr">
        <is>
          <t>People sensible (W)</t>
        </is>
      </c>
      <c r="B21">
        <f>B10*75</f>
        <v/>
      </c>
    </row>
    <row r="22">
      <c r="A22" s="2" t="inlineStr">
        <is>
          <t>People latent (W)</t>
        </is>
      </c>
      <c r="B22">
        <f>B10*55</f>
        <v/>
      </c>
    </row>
    <row r="23">
      <c r="A23" s="2" t="inlineStr">
        <is>
          <t>Qvent sensible (W)</t>
        </is>
      </c>
      <c r="B23">
        <f>2.67*B12*B17</f>
        <v/>
      </c>
    </row>
    <row r="24">
      <c r="A24" s="2" t="inlineStr">
        <is>
          <t>Qvent latent (W)</t>
        </is>
      </c>
      <c r="B24">
        <f>1.3*B12*B17</f>
        <v/>
      </c>
    </row>
    <row r="25">
      <c r="A25" s="2" t="inlineStr">
        <is>
          <t>Qs sensible total (W)</t>
        </is>
      </c>
      <c r="B25">
        <f>B19+B20+B21+B11+B23</f>
        <v/>
      </c>
    </row>
    <row r="26">
      <c r="A26" s="2" t="inlineStr">
        <is>
          <t>Ql latent total (W)</t>
        </is>
      </c>
      <c r="B26">
        <f>B22+B24</f>
        <v/>
      </c>
    </row>
    <row r="27">
      <c r="A27" s="2" t="inlineStr">
        <is>
          <t>Qt total (W)</t>
        </is>
      </c>
      <c r="B27">
        <f>B25+B26</f>
        <v/>
      </c>
    </row>
    <row r="28">
      <c r="A28" s="2" t="inlineStr">
        <is>
          <t>Design load (W)</t>
        </is>
      </c>
      <c r="B28">
        <f>B27*B13</f>
        <v/>
      </c>
    </row>
    <row r="29">
      <c r="A29" s="2" t="inlineStr">
        <is>
          <t>Design load (kW)</t>
        </is>
      </c>
      <c r="B29">
        <f>B28/1000</f>
        <v/>
      </c>
    </row>
    <row r="30">
      <c r="A30" s="2" t="inlineStr">
        <is>
          <t>Recommended size</t>
        </is>
      </c>
      <c r="B30">
        <f>IFS(B29&lt;=2.5,"2.5 kW / 9000 BTU",B29&lt;=3.5,"3.5 kW / 12000 BTU",B29&lt;=5,"5.0 kW / 18000 BTU",B29&lt;=6.8,"6.8 kW / 24000 BTU",B29&lt;=8,"8.0 kW",TRUE,"10.0 kW")</f>
        <v/>
      </c>
    </row>
  </sheetData>
  <dataValidations count="3">
    <dataValidation sqref="B7" showDropDown="0" showInputMessage="0" showErrorMessage="0" allowBlank="0" type="list">
      <formula1>"North,East,South,West"</formula1>
    </dataValidation>
    <dataValidation sqref="B8" showDropDown="0" showInputMessage="0" showErrorMessage="0" allowBlank="0" type="list">
      <formula1>"None,Internal blinds,External screen / shutter"</formula1>
    </dataValidation>
    <dataValidation sqref="B9" showDropDown="0" showInputMessage="0" showErrorMessage="0" allowBlank="0" type="list">
      <formula1>"New,Recent insulated,Older insulated,Old uninsulated"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2026-08-10T21:54:29Z</dcterms:created>
  <dcterms:modified xmlns:dcterms="http://purl.org/dc/terms/" xmlns:xsi="http://www.w3.org/2001/XMLSchema-instance" xsi:type="dcterms:W3CDTF">2026-08-10T21:54:29Z</dcterms:modified>
</cp:coreProperties>
</file>